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<sst xmlns="http://schemas.openxmlformats.org/spreadsheetml/2006/main" xmlns:a="http://schemas.openxmlformats.org/drawingml/2006/main" xmlns:a15="http://schemas.microsoft.com/office/drawing/2012/main" xmlns:asvg="http://schemas.microsoft.com/office/drawing/2016/SVG/main" xmlns:c="http://schemas.openxmlformats.org/drawingml/2006/chart" xmlns:co="http://ncloudtech.com" xmlns:co-ooxml="http://ncloudtech.com/ooxml" xmlns:m="http://schemas.openxmlformats.org/officeDocument/2006/math" xmlns:mc="http://schemas.openxmlformats.org/markup-compatibility/2006" xmlns:o="urn:schemas-microsoft-com:office:office" xmlns:p="http://schemas.openxmlformats.org/presentationml/2006/main" xmlns:pic="http://schemas.openxmlformats.org/drawingml/2006/picture" xmlns:r="http://schemas.openxmlformats.org/officeDocument/2006/relationships" xmlns:s="http://schemas.openxmlformats.org/officeDocument/2006/sharedTypes" xmlns:sl="http://schemas.openxmlformats.org/schemaLibrary/2006/main" xmlns:v="urn:schemas-microsoft-com:vml" xmlns:w="http://schemas.openxmlformats.org/wordprocessingml/2006/main" xmlns:w10="urn:schemas-microsoft-com:office:word" xmlns:w14="http://schemas.microsoft.com/office/word/2010/wordml" xmlns:w15="http://schemas.microsoft.com/office/word/2012/wordml" xmlns:wp="http://schemas.openxmlformats.org/drawingml/2006/wordprocessingDrawing" xmlns:wpg="http://schemas.microsoft.com/office/word/2010/wordprocessingGroup" xmlns:wps="http://schemas.microsoft.com/office/word/2010/wordprocessingShape" xmlns:x="urn:schemas-microsoft-com:office:excel" xmlns:x12ac="http://schemas.microsoft.com/office/spreadsheetml/2011/1/ac" xmlns:x14="http://schemas.microsoft.com/office/spreadsheetml/2009/9/main" xmlns:xdr="http://schemas.openxmlformats.org/drawingml/2006/spreadsheetDrawing" xmlns:xm="http://schemas.microsoft.com/office/excel/2006/main" mc:Ignorable="co co-ooxml w14 x14 w15">
  <si>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r>
      <rPr>
        <rFont val="system-ui"/>
        <b val="false"/>
        <i val="false"/>
        <color rgb="1D1D1F" tint="0"/>
        <sz val="12"/>
      </rPr>
      <t>Максимальный показатель</t>
    </r>
  </si>
  <si>
    <r>
      <rPr>
        <rFont val="system-ui"/>
        <b val="false"/>
        <i val="false"/>
        <color rgb="1D1D1F" tint="0"/>
        <sz val="12"/>
      </rPr>
      <t>Сумма</t>
    </r>
  </si>
  <si>
    <r>
      <rPr>
        <rFont val="system-ui"/>
        <b val="false"/>
        <i val="false"/>
        <color rgb="1D1D1F" tint="0"/>
        <sz val="12"/>
      </rPr>
      <t>Максимальный показатель</t>
    </r>
  </si>
  <si>
    <r>
      <rPr>
        <rFont val="system-ui"/>
        <b val="false"/>
        <i val="false"/>
        <color rgb="1D1D1F" tint="0"/>
        <sz val="12"/>
      </rPr>
      <t>Сумма</t>
    </r>
  </si>
  <si>
    <r>
      <rPr>
        <rFont val="system-ui"/>
        <b val="false"/>
        <i val="false"/>
        <color rgb="1D1D1F" tint="0"/>
        <sz val="12"/>
      </rPr>
      <t>Максимальный показатель</t>
    </r>
  </si>
  <si>
    <r>
      <rPr>
        <rFont val="system-ui"/>
        <b val="false"/>
        <i val="false"/>
        <color rgb="1D1D1F" tint="0"/>
        <sz val="12"/>
      </rPr>
      <t>Сумма для 2</t>
    </r>
  </si>
  <si>
    <r>
      <rPr>
        <rFont val="system-ui"/>
        <b val="false"/>
        <i val="false"/>
        <color rgb="1D1D1F" tint="0"/>
        <sz val="12"/>
      </rPr>
      <t>Сумма для 3</t>
    </r>
  </si>
  <si>
    <r>
      <t xml:space="preserve">
</t>
    </r>
    <r>
      <rPr>
        <rFont val="system-ui"/>
        <b val="false"/>
        <i val="false"/>
        <color rgb="1D1D1F" tint="0"/>
        <sz val="12"/>
      </rPr>
      <t>№</t>
    </r>
  </si>
  <si>
    <r>
      <rPr>
        <rFont val="system-ui"/>
        <b val="false"/>
        <i val="false"/>
        <color rgb="1D1D1F" tint="0"/>
        <sz val="12"/>
      </rPr>
      <t>Студент</t>
    </r>
  </si>
  <si>
    <r>
      <rPr>
        <rFont val="system-ui"/>
        <b val="false"/>
        <i val="false"/>
        <color rgb="1D1D1F" tint="0"/>
        <sz val="12"/>
      </rPr>
      <t>Оценка</t>
    </r>
  </si>
  <si>
    <r>
      <rPr>
        <rFont val="system-ui"/>
        <b val="false"/>
        <i val="false"/>
        <color rgb="1D1D1F" tint="0"/>
        <sz val="12"/>
      </rPr>
      <t>Статистическая функция</t>
    </r>
  </si>
  <si>
    <r>
      <rPr>
        <rFont val="system-ui"/>
        <b val="false"/>
        <i val="false"/>
        <color rgb="1D1D1F" tint="0"/>
        <sz val="12"/>
      </rPr>
      <t>Результат</t>
    </r>
  </si>
  <si>
    <t>Иванов А.</t>
  </si>
  <si>
    <t>Количество оценок</t>
  </si>
  <si>
    <t>Петрова Б.</t>
  </si>
  <si>
    <t>Средняя оценка</t>
  </si>
  <si>
    <t>Алексеева Т.</t>
  </si>
  <si>
    <t>Сидоров В.</t>
  </si>
  <si>
    <t>Минимальная оценка</t>
  </si>
  <si>
    <t>Борисов У.</t>
  </si>
  <si>
    <t>Козлова Г.</t>
  </si>
  <si>
    <t>Николаева Ф.</t>
  </si>
  <si>
    <t>Максимальная оценка</t>
  </si>
  <si>
    <t>Соколов И.</t>
  </si>
  <si>
    <t>Новиков Д.</t>
  </si>
  <si>
    <t>Сумма оценок</t>
  </si>
  <si>
    <t>Медиана</t>
  </si>
  <si>
    <t>Морозова Е.</t>
  </si>
  <si>
    <t>Мода</t>
  </si>
  <si>
    <t>Волков Ж.</t>
  </si>
  <si>
    <t>Павлова К.</t>
  </si>
  <si>
    <t>Стандартное отклонение</t>
  </si>
  <si>
    <t>Наибольшая (3-я)</t>
  </si>
  <si>
    <t>Лебедева З.</t>
  </si>
  <si>
    <t>Дисперсия</t>
  </si>
  <si>
    <t>Кузнецов Н.</t>
  </si>
  <si>
    <t>Васильева О.</t>
  </si>
  <si>
    <t>Попов П.</t>
  </si>
  <si>
    <t>Михайлова Р.</t>
  </si>
  <si>
    <t>Семенов Л.</t>
  </si>
  <si>
    <t>Федоров С.</t>
  </si>
  <si>
    <t>Наименьшая (2-я)</t>
  </si>
  <si>
    <t>Григорьева М.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</si>
</sst>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3">
    <font>
      <name val="Calibri"/>
      <sz val="11"/>
    </font>
    <font>
      <name val="XO Thames"/>
      <sz val="12"/>
    </font>
    <font>
      <name val="system-ui"/>
      <b val="false"/>
      <i val="false"/>
      <color rgb="1D1D1F" tint="0"/>
      <sz val="12"/>
    </font>
  </fonts>
  <fills count="5">
    <fill>
      <patternFill patternType="none"/>
    </fill>
    <fill>
      <patternFill patternType="gray125"/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</fills>
  <borders count="9">
    <border>
      <left style="none"/>
      <right style="none"/>
      <top style="none"/>
      <bottom style="none"/>
      <diagonal style="none"/>
    </border>
    <border>
      <left style="thin">
        <color rgb="E3E3E3" tint="0"/>
      </left>
      <right style="thin">
        <color rgb="E3E3E3" tint="0"/>
      </right>
      <top style="thin">
        <color rgb="E3E3E3" tint="0"/>
      </top>
      <bottom style="thin">
        <color rgb="E3E3E3" tint="0"/>
      </bottom>
    </border>
    <border>
      <left style="thin">
        <color rgb="E3E3E3" tint="0"/>
      </left>
      <right style="thin"/>
      <top style="thin">
        <color rgb="E3E3E3" tint="0"/>
      </top>
      <bottom style="thin">
        <color rgb="E3E3E3" tint="0"/>
      </bottom>
    </border>
    <border>
      <left style="thin">
        <color rgb="E3E3E3" tint="0"/>
      </left>
      <right style="thin">
        <color rgb="E3E3E3" tint="0"/>
      </right>
      <top style="thin">
        <color rgb="E3E3E3" tint="0"/>
      </top>
      <bottom style="thin"/>
    </border>
    <border>
      <left style="thin">
        <color rgb="E3E3E3" tint="0"/>
      </left>
      <right style="none"/>
      <top style="thin">
        <color rgb="E3E3E3" tint="0"/>
      </top>
      <bottom style="none"/>
    </border>
    <border>
      <left style="thin">
        <color rgb="E3E3E3" tint="0"/>
      </left>
      <right style="thin">
        <color rgb="E3E3E3" tint="0"/>
      </right>
      <top style="thin">
        <color rgb="E3E3E3" tint="0"/>
      </top>
      <bottom style="thin">
        <color rgb="E3E3E3" tint="0"/>
      </bottom>
    </border>
    <border>
      <left style="thin">
        <color rgb="E3E3E3" tint="0"/>
      </left>
      <right style="thin"/>
      <top style="thin">
        <color rgb="E3E3E3" tint="0"/>
      </top>
      <bottom style="thin">
        <color rgb="E3E3E3" tint="0"/>
      </bottom>
    </border>
    <border>
      <left style="thin">
        <color rgb="E3E3E3" tint="0"/>
      </left>
      <right style="thin">
        <color rgb="E3E3E3" tint="0"/>
      </right>
      <top style="thin">
        <color rgb="E3E3E3" tint="0"/>
      </top>
      <bottom style="thin"/>
    </border>
    <border>
      <left style="thin">
        <color rgb="E3E3E3" tint="0"/>
      </left>
      <right style="none"/>
      <top style="thin">
        <color rgb="E3E3E3" tint="0"/>
      </top>
      <bottom style="none"/>
    </border>
  </borders>
  <cellStyleXfs count="1">
    <xf applyBorder="false" applyFill="false" applyFont="true" borderId="0" fillId="0" fontId="1" numFmtId="0" quotePrefix="false"/>
  </cellStyleXfs>
  <cellXfs count="9">
    <xf applyBorder="false" applyFill="false" applyFont="true" borderId="0" fillId="0" fontId="1" numFmtId="0" quotePrefix="false"/>
    <xf applyAlignment="true" applyBorder="true" applyFill="true" applyFont="true" borderId="1" fillId="2" fontId="2" numFmtId="0" quotePrefix="false">
      <alignment horizontal="center" vertical="center"/>
    </xf>
    <xf applyAlignment="true" applyBorder="true" applyFill="true" applyFont="true" borderId="2" fillId="2" fontId="2" numFmtId="0" quotePrefix="false">
      <alignment horizontal="center" vertical="center"/>
    </xf>
    <xf applyAlignment="true" applyBorder="true" applyFill="true" applyFont="true" borderId="3" fillId="3" fontId="2" numFmtId="0" quotePrefix="false">
      <alignment horizontal="center" vertical="center"/>
    </xf>
    <xf applyAlignment="true" applyBorder="true" applyFill="true" applyFont="true" borderId="4" fillId="3" fontId="2" numFmtId="0" quotePrefix="false">
      <alignment horizontal="center" vertical="center"/>
    </xf>
    <xf applyAlignment="true" applyBorder="true" applyFill="true" applyFont="true" borderId="5" fillId="4" fontId="2" numFmtId="0" quotePrefix="false">
      <alignment horizontal="left" indent="0" vertical="center"/>
    </xf>
    <xf applyAlignment="true" applyBorder="true" applyFill="true" applyFont="true" borderId="6" fillId="4" fontId="2" numFmtId="0" quotePrefix="false">
      <alignment horizontal="left" indent="0" vertical="center"/>
    </xf>
    <xf applyAlignment="true" applyBorder="true" applyFill="true" applyFont="true" borderId="7" fillId="4" fontId="2" numFmtId="0" quotePrefix="false">
      <alignment horizontal="left" indent="0" vertical="center"/>
    </xf>
    <xf applyAlignment="true" applyBorder="true" applyFill="true" applyFont="true" borderId="8" fillId="4" fontId="2" numFmtId="0" quotePrefix="false">
      <alignment horizontal="left" indent="0" vertical="center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tyles.xml" Type="http://schemas.openxmlformats.org/officeDocument/2006/relationships/style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worksheets/sheet4.xml" Type="http://schemas.openxmlformats.org/officeDocument/2006/relationships/worksheet"/>
  <Relationship Id="rId7" Target="theme/theme1.xml" Type="http://schemas.openxmlformats.org/officeDocument/2006/relationships/theme"/>
  <Relationship Id="rId5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32.860308826397777"/>
    <col customWidth="true" max="2" min="2" outlineLevel="0" style="0" width="12.372503255180249"/>
    <col bestFit="true" customWidth="true" max="16384" min="3" outlineLevel="0" style="0" width="10.788470377394527"/>
  </cols>
  <sheetData>
    <row outlineLevel="0" r="1">
      <c r="A1" s="1" t="s">
        <v>0</v>
      </c>
      <c r="B1" s="2" t="s">
        <v>1</v>
      </c>
    </row>
    <row outlineLevel="0" r="2">
      <c r="A2" s="1" t="n">
        <v>0</v>
      </c>
      <c r="B2" s="2" t="n">
        <v>1</v>
      </c>
    </row>
    <row outlineLevel="0" r="3">
      <c r="A3" s="1" t="n">
        <v>1</v>
      </c>
      <c r="B3" s="2" t="n">
        <v>3</v>
      </c>
    </row>
    <row outlineLevel="0" r="4">
      <c r="A4" s="1" t="n">
        <v>2</v>
      </c>
      <c r="B4" s="2" t="n">
        <v>7</v>
      </c>
    </row>
    <row outlineLevel="0" r="5">
      <c r="A5" s="1" t="n">
        <v>3</v>
      </c>
      <c r="B5" s="2" t="n">
        <v>15</v>
      </c>
    </row>
    <row outlineLevel="0" r="6">
      <c r="A6" s="1" t="n">
        <v>4</v>
      </c>
      <c r="B6" s="2" t="n">
        <v>31</v>
      </c>
    </row>
    <row outlineLevel="0" r="7">
      <c r="A7" s="1" t="n">
        <v>5</v>
      </c>
      <c r="B7" s="2" t="n">
        <v>63</v>
      </c>
    </row>
    <row outlineLevel="0" r="8">
      <c r="A8" s="1" t="n">
        <v>6</v>
      </c>
      <c r="B8" s="2" t="n">
        <v>127</v>
      </c>
    </row>
    <row outlineLevel="0" r="9">
      <c r="A9" s="1" t="n">
        <v>7</v>
      </c>
      <c r="B9" s="2" t="n">
        <v>255</v>
      </c>
    </row>
    <row outlineLevel="0" r="10">
      <c r="A10" s="1" t="n">
        <v>8</v>
      </c>
      <c r="B10" s="2" t="n">
        <v>511</v>
      </c>
    </row>
    <row outlineLevel="0" r="11">
      <c r="A11" s="1" t="n">
        <v>9</v>
      </c>
      <c r="B11" s="2" t="n">
        <v>1023</v>
      </c>
    </row>
    <row outlineLevel="0" r="12">
      <c r="A12" s="1" t="n">
        <v>10</v>
      </c>
      <c r="B12" s="2" t="n">
        <v>2047</v>
      </c>
    </row>
    <row outlineLevel="0" r="13">
      <c r="A13" s="1" t="n">
        <v>11</v>
      </c>
      <c r="B13" s="2" t="n">
        <v>4095</v>
      </c>
    </row>
    <row outlineLevel="0" r="14">
      <c r="A14" s="1" t="n">
        <v>12</v>
      </c>
      <c r="B14" s="2" t="n">
        <v>8191</v>
      </c>
    </row>
    <row outlineLevel="0" r="15">
      <c r="A15" s="1" t="n">
        <v>13</v>
      </c>
      <c r="B15" s="2" t="n">
        <v>16383</v>
      </c>
    </row>
    <row outlineLevel="0" r="16">
      <c r="A16" s="1" t="n">
        <v>14</v>
      </c>
      <c r="B16" s="2" t="n">
        <v>32767</v>
      </c>
    </row>
    <row outlineLevel="0" r="17">
      <c r="A17" s="1" t="n">
        <v>15</v>
      </c>
      <c r="B17" s="2" t="n">
        <v>65535</v>
      </c>
    </row>
    <row outlineLevel="0" r="18">
      <c r="A18" s="1" t="n">
        <v>16</v>
      </c>
      <c r="B18" s="2" t="n">
        <v>131071</v>
      </c>
    </row>
    <row outlineLevel="0" r="19">
      <c r="A19" s="1" t="n">
        <v>17</v>
      </c>
      <c r="B19" s="2" t="n">
        <v>262143</v>
      </c>
    </row>
    <row outlineLevel="0" r="20">
      <c r="A20" s="1" t="n">
        <v>18</v>
      </c>
      <c r="B20" s="2" t="n">
        <v>524287</v>
      </c>
    </row>
    <row outlineLevel="0" r="21">
      <c r="A21" s="1" t="n">
        <v>19</v>
      </c>
      <c r="B21" s="2" t="n">
        <v>1048575</v>
      </c>
    </row>
    <row outlineLevel="0" r="22">
      <c r="A22" s="1" t="n">
        <v>20</v>
      </c>
      <c r="B22" s="2" t="n">
        <v>2097151</v>
      </c>
    </row>
    <row outlineLevel="0" r="23">
      <c r="A23" s="1" t="n">
        <v>21</v>
      </c>
      <c r="B23" s="2" t="n">
        <v>4194303</v>
      </c>
    </row>
    <row outlineLevel="0" r="24">
      <c r="A24" s="1" t="n">
        <v>22</v>
      </c>
      <c r="B24" s="2" t="n">
        <v>8388607</v>
      </c>
    </row>
    <row outlineLevel="0" r="25">
      <c r="A25" s="3" t="n">
        <v>23</v>
      </c>
      <c r="B25" s="4" t="n"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35.121946994483658"/>
    <col customWidth="true" max="2" min="2" outlineLevel="0" width="16.097561520242341"/>
  </cols>
  <sheetData>
    <row outlineLevel="0" r="1">
      <c r="A1" s="1" t="s">
        <v>2</v>
      </c>
      <c r="B1" s="2" t="s">
        <v>3</v>
      </c>
    </row>
    <row outlineLevel="0" r="2">
      <c r="A2" s="5" t="n">
        <v>0</v>
      </c>
      <c r="B2" s="6" t="n">
        <v>1</v>
      </c>
    </row>
    <row outlineLevel="0" r="3">
      <c r="A3" s="5" t="n">
        <v>1</v>
      </c>
      <c r="B3" s="6" t="n">
        <v>4</v>
      </c>
    </row>
    <row outlineLevel="0" r="4">
      <c r="A4" s="5" t="n">
        <v>2</v>
      </c>
      <c r="B4" s="6" t="n">
        <v>13</v>
      </c>
    </row>
    <row outlineLevel="0" r="5">
      <c r="A5" s="5" t="n">
        <v>3</v>
      </c>
      <c r="B5" s="6" t="n">
        <v>40</v>
      </c>
    </row>
    <row outlineLevel="0" r="6">
      <c r="A6" s="5" t="n">
        <v>4</v>
      </c>
      <c r="B6" s="6" t="n">
        <v>121</v>
      </c>
    </row>
    <row outlineLevel="0" r="7">
      <c r="A7" s="5" t="n">
        <v>5</v>
      </c>
      <c r="B7" s="6" t="n">
        <v>364</v>
      </c>
    </row>
    <row outlineLevel="0" r="8">
      <c r="A8" s="5" t="n">
        <v>6</v>
      </c>
      <c r="B8" s="6" t="n">
        <v>1093</v>
      </c>
    </row>
    <row outlineLevel="0" r="9">
      <c r="A9" s="5" t="n">
        <v>7</v>
      </c>
      <c r="B9" s="6" t="n">
        <v>3280</v>
      </c>
    </row>
    <row outlineLevel="0" r="10">
      <c r="A10" s="5" t="n">
        <v>8</v>
      </c>
      <c r="B10" s="6" t="n">
        <v>9841</v>
      </c>
    </row>
    <row outlineLevel="0" r="11">
      <c r="A11" s="5" t="n">
        <v>9</v>
      </c>
      <c r="B11" s="6" t="n">
        <v>29524</v>
      </c>
    </row>
    <row outlineLevel="0" r="12">
      <c r="A12" s="5" t="n">
        <v>10</v>
      </c>
      <c r="B12" s="6" t="n">
        <v>88573</v>
      </c>
    </row>
    <row outlineLevel="0" r="13">
      <c r="A13" s="5" t="n">
        <v>11</v>
      </c>
      <c r="B13" s="6" t="n">
        <v>265720</v>
      </c>
    </row>
    <row outlineLevel="0" r="14">
      <c r="A14" s="5" t="n">
        <v>12</v>
      </c>
      <c r="B14" s="6" t="n">
        <v>797161</v>
      </c>
    </row>
    <row outlineLevel="0" r="15">
      <c r="A15" s="5" t="n">
        <v>13</v>
      </c>
      <c r="B15" s="6" t="n">
        <v>2391484</v>
      </c>
    </row>
    <row outlineLevel="0" r="16">
      <c r="A16" s="5" t="n">
        <v>14</v>
      </c>
      <c r="B16" s="6" t="n">
        <v>7174453</v>
      </c>
    </row>
    <row outlineLevel="0" r="17">
      <c r="A17" s="5" t="n">
        <v>15</v>
      </c>
      <c r="B17" s="6" t="n">
        <v>21523360</v>
      </c>
    </row>
    <row outlineLevel="0" r="18">
      <c r="A18" s="5" t="n">
        <v>16</v>
      </c>
      <c r="B18" s="6" t="n">
        <v>64570081</v>
      </c>
    </row>
    <row outlineLevel="0" r="19">
      <c r="A19" s="5" t="n">
        <v>17</v>
      </c>
      <c r="B19" s="6" t="n">
        <v>193710244</v>
      </c>
    </row>
    <row outlineLevel="0" r="20">
      <c r="A20" s="5" t="n">
        <v>18</v>
      </c>
      <c r="B20" s="6" t="n">
        <v>581130733</v>
      </c>
    </row>
    <row outlineLevel="0" r="21">
      <c r="A21" s="5" t="n">
        <v>19</v>
      </c>
      <c r="B21" s="6" t="n">
        <v>1743392200</v>
      </c>
    </row>
    <row outlineLevel="0" r="22">
      <c r="A22" s="5" t="n">
        <v>20</v>
      </c>
      <c r="B22" s="6" t="n">
        <v>5230176601</v>
      </c>
    </row>
    <row outlineLevel="0" r="23">
      <c r="A23" s="5" t="n">
        <v>21</v>
      </c>
      <c r="B23" s="6" t="n">
        <v>15690529804</v>
      </c>
    </row>
    <row outlineLevel="0" r="24">
      <c r="A24" s="5" t="n">
        <v>22</v>
      </c>
      <c r="B24" s="6" t="n">
        <v>47071589413</v>
      </c>
    </row>
    <row outlineLevel="0" r="25">
      <c r="A25" s="7" t="n">
        <v>23</v>
      </c>
      <c r="B25" s="8" t="n"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" min="1" outlineLevel="0" width="31.232331987954691"/>
    <col customWidth="true" max="2" min="2" outlineLevel="0" width="14.798706284709729"/>
    <col customWidth="true" max="3" min="3" outlineLevel="0" width="15.299335329155944"/>
  </cols>
  <sheetData>
    <row outlineLevel="0" r="1">
      <c r="A1" s="5" t="s">
        <v>4</v>
      </c>
      <c r="B1" s="5" t="s">
        <v>5</v>
      </c>
      <c r="C1" s="6" t="s">
        <v>6</v>
      </c>
    </row>
    <row outlineLevel="0" r="2">
      <c r="A2" s="5" t="n">
        <v>0</v>
      </c>
      <c r="B2" s="5" t="n">
        <v>1</v>
      </c>
      <c r="C2" s="6" t="n">
        <v>1</v>
      </c>
    </row>
    <row outlineLevel="0" r="3">
      <c r="A3" s="5" t="n">
        <v>1</v>
      </c>
      <c r="B3" s="5" t="n">
        <v>3</v>
      </c>
      <c r="C3" s="6" t="n">
        <v>4</v>
      </c>
    </row>
    <row outlineLevel="0" r="4">
      <c r="A4" s="5" t="n">
        <v>2</v>
      </c>
      <c r="B4" s="5" t="n">
        <v>7</v>
      </c>
      <c r="C4" s="6" t="n">
        <v>13</v>
      </c>
    </row>
    <row outlineLevel="0" r="5">
      <c r="A5" s="5" t="n">
        <v>3</v>
      </c>
      <c r="B5" s="5" t="n">
        <v>15</v>
      </c>
      <c r="C5" s="6" t="n">
        <v>40</v>
      </c>
    </row>
    <row outlineLevel="0" r="6">
      <c r="A6" s="5" t="n">
        <v>4</v>
      </c>
      <c r="B6" s="5" t="n">
        <v>31</v>
      </c>
      <c r="C6" s="6" t="n">
        <v>121</v>
      </c>
    </row>
    <row outlineLevel="0" r="7">
      <c r="A7" s="5" t="n">
        <v>5</v>
      </c>
      <c r="B7" s="5" t="n">
        <v>63</v>
      </c>
      <c r="C7" s="6" t="n">
        <v>364</v>
      </c>
    </row>
    <row outlineLevel="0" r="8">
      <c r="A8" s="5" t="n">
        <v>6</v>
      </c>
      <c r="B8" s="5" t="n">
        <v>127</v>
      </c>
      <c r="C8" s="6" t="n">
        <v>1093</v>
      </c>
    </row>
    <row outlineLevel="0" r="9">
      <c r="A9" s="5" t="n">
        <v>7</v>
      </c>
      <c r="B9" s="5" t="n">
        <v>255</v>
      </c>
      <c r="C9" s="6" t="n">
        <v>3280</v>
      </c>
    </row>
    <row outlineLevel="0" r="10">
      <c r="A10" s="5" t="n">
        <v>8</v>
      </c>
      <c r="B10" s="5" t="n">
        <v>511</v>
      </c>
      <c r="C10" s="6" t="n">
        <v>9841</v>
      </c>
    </row>
    <row outlineLevel="0" r="11">
      <c r="A11" s="5" t="n">
        <v>9</v>
      </c>
      <c r="B11" s="5" t="n">
        <v>1023</v>
      </c>
      <c r="C11" s="6" t="n">
        <v>29524</v>
      </c>
    </row>
    <row outlineLevel="0" r="12">
      <c r="A12" s="5" t="n">
        <v>10</v>
      </c>
      <c r="B12" s="5" t="n">
        <v>2047</v>
      </c>
      <c r="C12" s="6" t="n">
        <v>88573</v>
      </c>
    </row>
    <row outlineLevel="0" r="13">
      <c r="A13" s="5" t="n">
        <v>11</v>
      </c>
      <c r="B13" s="5" t="n">
        <v>4095</v>
      </c>
      <c r="C13" s="6" t="n">
        <v>265720</v>
      </c>
    </row>
    <row outlineLevel="0" r="14">
      <c r="A14" s="5" t="n">
        <v>12</v>
      </c>
      <c r="B14" s="5" t="n">
        <v>8191</v>
      </c>
      <c r="C14" s="6" t="n">
        <v>797161</v>
      </c>
    </row>
    <row outlineLevel="0" r="15">
      <c r="A15" s="5" t="n">
        <v>13</v>
      </c>
      <c r="B15" s="5" t="n">
        <v>16383</v>
      </c>
      <c r="C15" s="6" t="n">
        <v>2391484</v>
      </c>
    </row>
    <row outlineLevel="0" r="16">
      <c r="A16" s="5" t="n">
        <v>14</v>
      </c>
      <c r="B16" s="5" t="n">
        <v>32767</v>
      </c>
      <c r="C16" s="6" t="n">
        <v>7174453</v>
      </c>
    </row>
    <row outlineLevel="0" r="17">
      <c r="A17" s="5" t="n">
        <v>15</v>
      </c>
      <c r="B17" s="5" t="n">
        <v>65535</v>
      </c>
      <c r="C17" s="6" t="n">
        <v>21523360</v>
      </c>
    </row>
    <row outlineLevel="0" r="18">
      <c r="A18" s="5" t="n">
        <v>16</v>
      </c>
      <c r="B18" s="5" t="n">
        <v>131071</v>
      </c>
      <c r="C18" s="6" t="n">
        <v>64570081</v>
      </c>
    </row>
    <row outlineLevel="0" r="19">
      <c r="A19" s="5" t="n">
        <v>17</v>
      </c>
      <c r="B19" s="5" t="n">
        <v>262143</v>
      </c>
      <c r="C19" s="6" t="n">
        <v>193710244</v>
      </c>
    </row>
    <row outlineLevel="0" r="20">
      <c r="A20" s="5" t="n">
        <v>18</v>
      </c>
      <c r="B20" s="5" t="n">
        <v>524287</v>
      </c>
      <c r="C20" s="6" t="n">
        <v>581130733</v>
      </c>
    </row>
    <row outlineLevel="0" r="21">
      <c r="A21" s="5" t="n">
        <v>19</v>
      </c>
      <c r="B21" s="5" t="n">
        <v>1048575</v>
      </c>
      <c r="C21" s="6" t="n">
        <v>1743392200</v>
      </c>
    </row>
    <row outlineLevel="0" r="22">
      <c r="A22" s="5" t="n">
        <v>20</v>
      </c>
      <c r="B22" s="5" t="n">
        <v>2097151</v>
      </c>
      <c r="C22" s="6" t="n">
        <v>5230176601</v>
      </c>
    </row>
    <row outlineLevel="0" r="23">
      <c r="A23" s="5" t="n">
        <v>21</v>
      </c>
      <c r="B23" s="5" t="n">
        <v>4194303</v>
      </c>
      <c r="C23" s="6" t="n">
        <v>15690529804</v>
      </c>
    </row>
    <row outlineLevel="0" r="24">
      <c r="A24" s="5" t="n">
        <v>22</v>
      </c>
      <c r="B24" s="5" t="n">
        <v>8388607</v>
      </c>
      <c r="C24" s="6" t="n">
        <v>47071589413</v>
      </c>
    </row>
    <row outlineLevel="0" r="25">
      <c r="A25" s="7" t="n">
        <v>23</v>
      </c>
      <c r="B25" s="7" t="n">
        <v>16777215</v>
      </c>
      <c r="C25" s="8" t="n"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7.4501104401416463"/>
    <col customWidth="true" max="2" min="2" outlineLevel="0" width="14.235031034381842"/>
    <col customWidth="true" max="4" min="4" outlineLevel="0" width="10.098446936036744"/>
    <col customWidth="true" max="5" min="5" outlineLevel="0" width="29.135250561335681"/>
    <col customWidth="true" max="6" min="6" outlineLevel="0" width="15.033259932127145"/>
  </cols>
  <sheetData>
    <row outlineLevel="0" r="1">
      <c r="A1" s="5" t="s">
        <v>7</v>
      </c>
      <c r="B1" s="5" t="s">
        <v>8</v>
      </c>
      <c r="C1" s="5" t="s">
        <v>9</v>
      </c>
      <c r="D1" s="5" t="n"/>
      <c r="E1" s="5" t="s">
        <v>10</v>
      </c>
      <c r="F1" s="6" t="s">
        <v>11</v>
      </c>
    </row>
    <row outlineLevel="0" r="2">
      <c r="A2" s="5" t="n">
        <v>1</v>
      </c>
      <c r="B2" s="5" t="s">
        <v>12</v>
      </c>
      <c r="C2" s="5" t="n">
        <v>85</v>
      </c>
      <c r="D2" s="5" t="n"/>
      <c r="E2" s="5" t="s">
        <v>13</v>
      </c>
      <c r="F2" s="6" t="n">
        <f aca="false" ca="false" dt2D="false" dtr="false" t="normal">COUNT(C2:C21)</f>
        <v>20</v>
      </c>
    </row>
    <row outlineLevel="0" r="3">
      <c r="A3" s="5" t="n">
        <v>2</v>
      </c>
      <c r="B3" s="5" t="s">
        <v>14</v>
      </c>
      <c r="C3" s="5" t="n">
        <v>92</v>
      </c>
      <c r="D3" s="5" t="n"/>
      <c r="E3" s="5" t="s">
        <v>15</v>
      </c>
      <c r="F3" s="6" t="n">
        <f aca="false" ca="false" dt2D="false" dtr="false" t="normal">AVERAGE(C2:C21)</f>
        <v>87.400000000000006</v>
      </c>
    </row>
    <row outlineLevel="0" r="4">
      <c r="A4" s="5" t="n">
        <v>3</v>
      </c>
      <c r="B4" s="5" t="s">
        <v>17</v>
      </c>
      <c r="C4" s="5" t="n">
        <v>78</v>
      </c>
      <c r="D4" s="5" t="n"/>
      <c r="E4" s="5" t="s">
        <v>18</v>
      </c>
      <c r="F4" s="6" t="n">
        <f aca="false" ca="false" dt2D="false" dtr="false" t="normal">MIN(C2:C21)</f>
        <v>76</v>
      </c>
    </row>
    <row outlineLevel="0" r="5">
      <c r="A5" s="5" t="n">
        <v>4</v>
      </c>
      <c r="B5" s="5" t="s">
        <v>20</v>
      </c>
      <c r="C5" s="5" t="n">
        <v>95</v>
      </c>
      <c r="D5" s="5" t="n"/>
      <c r="E5" s="5" t="s">
        <v>22</v>
      </c>
      <c r="F5" s="6" t="n">
        <f aca="false" ca="false" dt2D="false" dtr="false" t="normal">MAX(C2:C21)</f>
        <v>96</v>
      </c>
      <c r="G5" s="6" t="n"/>
    </row>
    <row outlineLevel="0" r="6">
      <c r="A6" s="5" t="n">
        <v>5</v>
      </c>
      <c r="B6" s="5" t="s">
        <v>24</v>
      </c>
      <c r="C6" s="5" t="n">
        <v>88</v>
      </c>
      <c r="D6" s="5" t="n"/>
      <c r="E6" s="5" t="s">
        <v>26</v>
      </c>
      <c r="F6" s="6" t="n">
        <f aca="false" ca="false" dt2D="false" dtr="false" t="normal">MEDIAN(C2:C21)</f>
        <v>88</v>
      </c>
      <c r="G6" s="6" t="n"/>
    </row>
    <row outlineLevel="0" r="7">
      <c r="A7" s="5" t="n">
        <v>6</v>
      </c>
      <c r="B7" s="5" t="s">
        <v>27</v>
      </c>
      <c r="C7" s="5" t="n">
        <v>91</v>
      </c>
      <c r="D7" s="5" t="n"/>
      <c r="E7" s="5" t="s">
        <v>28</v>
      </c>
      <c r="F7" s="6" t="n">
        <f aca="false" ca="false" dt2D="false" dtr="false" t="normal">_XLFN.MODE.SNGL(C2:C21)</f>
        <v>88</v>
      </c>
    </row>
    <row outlineLevel="0" r="8">
      <c r="A8" s="5" t="n">
        <v>7</v>
      </c>
      <c r="B8" s="5" t="s">
        <v>29</v>
      </c>
      <c r="C8" s="5" t="n">
        <v>76</v>
      </c>
      <c r="D8" s="5" t="n"/>
      <c r="E8" s="5" t="s">
        <v>31</v>
      </c>
      <c r="F8" s="6" t="n">
        <f aca="false" ca="false" dt2D="false" dtr="false" t="normal">_XLFN.STDEV.S(C2:C21)</f>
        <v>5.679140038680802</v>
      </c>
    </row>
    <row outlineLevel="0" r="9">
      <c r="A9" s="5" t="n">
        <v>8</v>
      </c>
      <c r="B9" s="5" t="s">
        <v>33</v>
      </c>
      <c r="C9" s="5" t="n">
        <v>89</v>
      </c>
      <c r="D9" s="5" t="n"/>
      <c r="E9" s="5" t="s">
        <v>34</v>
      </c>
      <c r="F9" s="6" t="n">
        <f aca="false" ca="false" dt2D="false" dtr="false" t="normal">_XLFN.VAR.S(C2:C21)</f>
        <v>32.25263157894738</v>
      </c>
    </row>
    <row outlineLevel="0" r="10">
      <c r="A10" s="5" t="n">
        <v>9</v>
      </c>
      <c r="B10" s="5" t="s">
        <v>23</v>
      </c>
      <c r="C10" s="5" t="n">
        <v>94</v>
      </c>
      <c r="D10" s="5" t="n"/>
      <c r="E10" s="5" t="s">
        <v>25</v>
      </c>
      <c r="F10" s="6" t="n">
        <f aca="false" ca="false" dt2D="false" dtr="false" t="normal">SUM(C2:C21)</f>
        <v>1748</v>
      </c>
    </row>
    <row outlineLevel="0" r="11">
      <c r="A11" s="5" t="n">
        <v>10</v>
      </c>
      <c r="B11" s="5" t="s">
        <v>30</v>
      </c>
      <c r="C11" s="5" t="n">
        <v>82</v>
      </c>
      <c r="D11" s="5" t="n"/>
      <c r="E11" s="5" t="s">
        <v>32</v>
      </c>
      <c r="F11" s="6" t="n">
        <f aca="false" ca="false" dt2D="false" dtr="false" t="normal">LARGE(C2:C21, 3)</f>
        <v>94</v>
      </c>
    </row>
    <row outlineLevel="0" r="12">
      <c r="A12" s="5" t="n">
        <v>11</v>
      </c>
      <c r="B12" s="5" t="s">
        <v>39</v>
      </c>
      <c r="C12" s="5" t="n">
        <v>87</v>
      </c>
      <c r="D12" s="5" t="n"/>
      <c r="E12" s="5" t="s">
        <v>41</v>
      </c>
      <c r="F12" s="6" t="n">
        <f aca="false" ca="false" dt2D="false" dtr="false" t="normal">SMALL(C2:C21, 2)</f>
        <v>78</v>
      </c>
    </row>
    <row outlineLevel="0" r="13">
      <c r="A13" s="5" t="n">
        <v>12</v>
      </c>
      <c r="B13" s="5" t="s">
        <v>42</v>
      </c>
      <c r="C13" s="5" t="n">
        <v>90</v>
      </c>
      <c r="D13" s="5" t="n"/>
      <c r="E13" s="5" t="n"/>
      <c r="F13" s="6" t="n"/>
    </row>
    <row outlineLevel="0" r="14">
      <c r="A14" s="5" t="n">
        <v>13</v>
      </c>
      <c r="B14" s="5" t="s">
        <v>35</v>
      </c>
      <c r="C14" s="5" t="n">
        <v>86</v>
      </c>
      <c r="D14" s="5" t="n"/>
      <c r="E14" s="5" t="n"/>
      <c r="F14" s="5" t="n"/>
    </row>
    <row outlineLevel="0" r="15">
      <c r="A15" s="5" t="n">
        <v>14</v>
      </c>
      <c r="B15" s="5" t="s">
        <v>36</v>
      </c>
      <c r="C15" s="5" t="n">
        <v>93</v>
      </c>
    </row>
    <row outlineLevel="0" r="16">
      <c r="A16" s="5" t="n">
        <v>15</v>
      </c>
      <c r="B16" s="5" t="s">
        <v>37</v>
      </c>
      <c r="C16" s="5" t="n">
        <v>79</v>
      </c>
    </row>
    <row outlineLevel="0" r="17">
      <c r="A17" s="5" t="n">
        <v>16</v>
      </c>
      <c r="B17" s="5" t="s">
        <v>38</v>
      </c>
      <c r="C17" s="5" t="n">
        <v>88</v>
      </c>
    </row>
    <row outlineLevel="0" r="18">
      <c r="A18" s="5" t="n">
        <v>17</v>
      </c>
      <c r="B18" s="5" t="s">
        <v>40</v>
      </c>
      <c r="C18" s="5" t="n">
        <v>91</v>
      </c>
    </row>
    <row outlineLevel="0" r="19">
      <c r="A19" s="5" t="n">
        <v>18</v>
      </c>
      <c r="B19" s="5" t="s">
        <v>16</v>
      </c>
      <c r="C19" s="5" t="n">
        <v>84</v>
      </c>
    </row>
    <row outlineLevel="0" r="20">
      <c r="A20" s="5" t="n">
        <v>18</v>
      </c>
      <c r="B20" s="5" t="s">
        <v>16</v>
      </c>
      <c r="C20" s="5" t="n">
        <v>84</v>
      </c>
    </row>
    <row outlineLevel="0" r="21">
      <c r="A21" s="5" t="n">
        <v>19</v>
      </c>
      <c r="B21" s="5" t="s">
        <v>19</v>
      </c>
      <c r="C21" s="5" t="n">
        <v>96</v>
      </c>
    </row>
    <row outlineLevel="0" r="22">
      <c r="A22" s="7" t="n">
        <v>20</v>
      </c>
      <c r="B22" s="7" t="s">
        <v>21</v>
      </c>
      <c r="C22" s="7" t="n">
        <v>83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2026-05-04T08:28:00Z</dcterms:created>
  <dcterms:modified xsi:type="dcterms:W3CDTF">2026-05-04T08:28:00Z</dcterms:modified>
</cp:coreProperties>
</file>